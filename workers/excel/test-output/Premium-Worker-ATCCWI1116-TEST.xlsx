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mium" state="visible" r:id="rId4"/>
    <sheet sheetId="2" name="Policy" state="visible" r:id="rId5"/>
    <sheet sheetId="3" name="Rates" state="visible" r:id="rId6"/>
    <sheet sheetId="4" name="Adjustment" state="visible" r:id="rId7"/>
  </sheets>
  <calcPr calcId="171027"/>
</workbook>
</file>

<file path=xl/sharedStrings.xml><?xml version="1.0" encoding="utf-8"?>
<sst xmlns="http://schemas.openxmlformats.org/spreadsheetml/2006/main" count="177" uniqueCount="125">
  <si>
    <t>Irecon Insurance</t>
  </si>
  <si>
    <t>Premium Breakdown</t>
  </si>
  <si>
    <t>Generated</t>
  </si>
  <si>
    <t>13 Aug 2026, 11:49 pm</t>
  </si>
  <si>
    <t>Spreadsheet version</t>
  </si>
  <si>
    <t>1.4</t>
  </si>
  <si>
    <t>App version</t>
  </si>
  <si>
    <t>1.0.0</t>
  </si>
  <si>
    <t>Policy number</t>
  </si>
  <si>
    <t>ATCCWI1116</t>
  </si>
  <si>
    <t>Insured</t>
  </si>
  <si>
    <t>ATCCWI1116 Construction</t>
  </si>
  <si>
    <t>Cover type</t>
  </si>
  <si>
    <t>Annual</t>
  </si>
  <si>
    <t>Estimated turnover</t>
  </si>
  <si>
    <t>Site</t>
  </si>
  <si>
    <t>123 Sydney Street, Sydney NSW 2000</t>
  </si>
  <si>
    <t>Amounts below are Excel formulas from Policy + Rates (not pasted totals).</t>
  </si>
  <si>
    <t>Component</t>
  </si>
  <si>
    <t>Contract works</t>
  </si>
  <si>
    <t>Legal liability</t>
  </si>
  <si>
    <t>Combined</t>
  </si>
  <si>
    <t>Base Premium</t>
  </si>
  <si>
    <t>True Base Premium</t>
  </si>
  <si>
    <t>Terrorism Levy</t>
  </si>
  <si>
    <t/>
  </si>
  <si>
    <t>Display Homes</t>
  </si>
  <si>
    <t>Existing Structure</t>
  </si>
  <si>
    <t>Plant and Equipment</t>
  </si>
  <si>
    <t>Terrorism Levy Plant and Equipment</t>
  </si>
  <si>
    <t>ESL Plant and Equipment</t>
  </si>
  <si>
    <t>ESL</t>
  </si>
  <si>
    <t>GST</t>
  </si>
  <si>
    <t>Stamp Duty</t>
  </si>
  <si>
    <t>Broker Fee</t>
  </si>
  <si>
    <t>Total Premium</t>
  </si>
  <si>
    <t>Plant premium uses rate × plant value (v2.1+). Open Policy / Rates to change drivers; Premium recalculates via formulas.</t>
  </si>
  <si>
    <t>Policy</t>
  </si>
  <si>
    <t>Field</t>
  </si>
  <si>
    <t>Value</t>
  </si>
  <si>
    <t>Notes</t>
  </si>
  <si>
    <t>Insured name</t>
  </si>
  <si>
    <t>Certificate / start date</t>
  </si>
  <si>
    <t>2024-01-01</t>
  </si>
  <si>
    <t>End date</t>
  </si>
  <si>
    <t>2025-01-01</t>
  </si>
  <si>
    <t>Original / estimated turnover (bind)</t>
  </si>
  <si>
    <t>Contract works sum insured</t>
  </si>
  <si>
    <t>Plant &amp; equipment</t>
  </si>
  <si>
    <t>Display homes (limits)</t>
  </si>
  <si>
    <t>Existing structure (limits)</t>
  </si>
  <si>
    <t>Display homes premium (manual)</t>
  </si>
  <si>
    <t>Broker-entered premium line (not rate-derived)</t>
  </si>
  <si>
    <t>Existing structure premium (manual)</t>
  </si>
  <si>
    <t>Broker fee (incl. GST)</t>
  </si>
  <si>
    <t>Liability limit</t>
  </si>
  <si>
    <t>$10 Million</t>
  </si>
  <si>
    <t>State</t>
  </si>
  <si>
    <t>NSW</t>
  </si>
  <si>
    <t>Postcode</t>
  </si>
  <si>
    <t>2000</t>
  </si>
  <si>
    <t>Site address</t>
  </si>
  <si>
    <t>Adjustment turnover</t>
  </si>
  <si>
    <t>End-of-term adjustment turnover</t>
  </si>
  <si>
    <t>Stamp duty exempt</t>
  </si>
  <si>
    <t>No</t>
  </si>
  <si>
    <t>Yes → Section 2 stamp duty is zero</t>
  </si>
  <si>
    <t>Bind CW true base premium</t>
  </si>
  <si>
    <t>Stored bind premium (adjust original)</t>
  </si>
  <si>
    <t>Bind CW terrorism levy</t>
  </si>
  <si>
    <t>Bind LL true base premium</t>
  </si>
  <si>
    <t>Bind CW ESL</t>
  </si>
  <si>
    <t>Bind CW GST</t>
  </si>
  <si>
    <t>Bind CW stamp duty</t>
  </si>
  <si>
    <t>Bind LL ESL</t>
  </si>
  <si>
    <t>Bind LL GST</t>
  </si>
  <si>
    <t>Bind LL stamp duty</t>
  </si>
  <si>
    <t>Bind CW base (calculated)</t>
  </si>
  <si>
    <t>Bind LL base (calculated)</t>
  </si>
  <si>
    <t>Bind CW plant</t>
  </si>
  <si>
    <t>Bind CW plant terrorism</t>
  </si>
  <si>
    <t>Bind CW plant ESL</t>
  </si>
  <si>
    <t>Pricing rates</t>
  </si>
  <si>
    <t>Rate</t>
  </si>
  <si>
    <t>Source / notes</t>
  </si>
  <si>
    <t>Contract works applied rate</t>
  </si>
  <si>
    <t>price_* schedule</t>
  </si>
  <si>
    <t>Contract works min premium</t>
  </si>
  <si>
    <t>Liability applied rate</t>
  </si>
  <si>
    <t>Liability min premium</t>
  </si>
  <si>
    <t>Plant premium rate</t>
  </si>
  <si>
    <t>price_plant</t>
  </si>
  <si>
    <t>ESL rate (construction)</t>
  </si>
  <si>
    <t>price_esl</t>
  </si>
  <si>
    <t>Plant ESL rate</t>
  </si>
  <si>
    <t>Stamp duty rate (section 1)</t>
  </si>
  <si>
    <t>price_stamp_duty</t>
  </si>
  <si>
    <t>Stamp duty rate (section 2)</t>
  </si>
  <si>
    <t>Terrorism rate (τ)</t>
  </si>
  <si>
    <t>Tier 2</t>
  </si>
  <si>
    <t>Terrorism tier</t>
  </si>
  <si>
    <t>Postcode / state lookup</t>
  </si>
  <si>
    <t>GST rate</t>
  </si>
  <si>
    <t>Plant value min</t>
  </si>
  <si>
    <t>Plant value max</t>
  </si>
  <si>
    <t>End-of-term adjustment</t>
  </si>
  <si>
    <t>Original Turnover</t>
  </si>
  <si>
    <t>Adjustment Turnover</t>
  </si>
  <si>
    <t>Stamp Duty Exempt</t>
  </si>
  <si>
    <t>Frozen rates (same as app — 6 dp; amounts use ROUND to cents)</t>
  </si>
  <si>
    <t>CW applied rate</t>
  </si>
  <si>
    <t>LL applied rate</t>
  </si>
  <si>
    <t>CW min premium</t>
  </si>
  <si>
    <t>LL min premium</t>
  </si>
  <si>
    <t>Terrorism rate</t>
  </si>
  <si>
    <t>ESL rate</t>
  </si>
  <si>
    <t>CW stamp duty rate</t>
  </si>
  <si>
    <t>LL stamp duty rate</t>
  </si>
  <si>
    <t>Original</t>
  </si>
  <si>
    <t>Cover</t>
  </si>
  <si>
    <t>Contract Works</t>
  </si>
  <si>
    <t>Legal Liability</t>
  </si>
  <si>
    <t>TOTAL</t>
  </si>
  <si>
    <t>Total Adjustment Premium</t>
  </si>
  <si>
    <t>All policies are subject to a minimum premium of 75% of original estimated premium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</si>
</sst>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000%"/>
  </numFmts>
  <fonts count="6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i/>
      <color rgb="FF6B7280"/>
      <sz val="9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right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165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38" customWidth="1"/>
    <col min="2" max="4" width="1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2" x14ac:dyDescent="0.25">
      <c r="A4" t="s">
        <v>6</v>
      </c>
      <c r="B4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14</v>
      </c>
      <c r="D6" s="3">
        <v>1250000</v>
      </c>
    </row>
    <row r="7" spans="1:4" x14ac:dyDescent="0.25">
      <c r="A7" t="s">
        <v>15</v>
      </c>
      <c r="B7" t="s">
        <v>16</v>
      </c>
      <c r="C7"/>
      <c r="D7"/>
    </row>
    <row r="8" spans="1:4" x14ac:dyDescent="0.25">
      <c r="A8" s="4" t="s">
        <v>17</v>
      </c>
      <c r="B8" s="4"/>
      <c r="C8" s="4"/>
      <c r="D8" s="4"/>
    </row>
    <row r="10" spans="1:4" s="5" customFormat="1" x14ac:dyDescent="0.25">
      <c r="A10" s="6" t="s">
        <v>18</v>
      </c>
      <c r="B10" s="7" t="s">
        <v>19</v>
      </c>
      <c r="C10" s="7" t="s">
        <v>20</v>
      </c>
      <c r="D10" s="7" t="s">
        <v>21</v>
      </c>
    </row>
    <row r="11" spans="1:4" x14ac:dyDescent="0.25">
      <c r="A11" t="s">
        <v>22</v>
      </c>
      <c r="B11" s="3">
        <f>ROUND(Policy!$B$8*Rates!$B$3,2)</f>
        <v>66587.5</v>
      </c>
      <c r="C11" s="3">
        <f>ROUND(Policy!$B$8*Rates!$B$5,2)</f>
        <v>15432.09</v>
      </c>
      <c r="D11" s="3">
        <f>ROUND(SUM(B11:C11),2)</f>
        <v>82019.59</v>
      </c>
    </row>
    <row r="12" spans="1:4" x14ac:dyDescent="0.25">
      <c r="A12" t="s">
        <v>23</v>
      </c>
      <c r="B12" s="3">
        <f>ROUND(MAX(B11,Rates!$B$4),2)</f>
        <v>66587.5</v>
      </c>
      <c r="C12" s="3">
        <f>ROUND(MAX(C11,Rates!$B$6),2)</f>
        <v>15432.09</v>
      </c>
      <c r="D12" s="3">
        <f>ROUND(SUM(B12,C12,B13,B14,B15,B16,B17),2)</f>
        <v>101177.65</v>
      </c>
    </row>
    <row r="13" spans="1:4" x14ac:dyDescent="0.25">
      <c r="A13" t="s">
        <v>24</v>
      </c>
      <c r="B13" s="3">
        <f>ROUND(SUM(B12,B14,B15)*Rates!$B$12,2)</f>
        <v>3552.18</v>
      </c>
      <c r="C13" t="s">
        <v>25</v>
      </c>
      <c r="D13" s="3">
        <f>ROUND(B13,2)</f>
        <v>3552.18</v>
      </c>
    </row>
    <row r="14" spans="1:4" x14ac:dyDescent="0.25">
      <c r="A14" t="s">
        <v>26</v>
      </c>
      <c r="B14" s="3">
        <f>ROUND(Policy!$B$13,2)</f>
        <v>3312.5</v>
      </c>
      <c r="C14" t="s">
        <v>25</v>
      </c>
      <c r="D14" s="3">
        <f>ROUND(B14,2)</f>
        <v>3312.5</v>
      </c>
    </row>
    <row r="15" spans="1:4" x14ac:dyDescent="0.25">
      <c r="A15" t="s">
        <v>27</v>
      </c>
      <c r="B15" s="3">
        <f>ROUND(Policy!$B$14,2)</f>
        <v>4968.75</v>
      </c>
      <c r="C15" t="s">
        <v>25</v>
      </c>
      <c r="D15" s="3">
        <f>ROUND(B15,2)</f>
        <v>4968.75</v>
      </c>
    </row>
    <row r="16" spans="1:4" x14ac:dyDescent="0.25">
      <c r="A16" t="s">
        <v>28</v>
      </c>
      <c r="B16" s="3">
        <f>ROUND(Policy!$B$10*Rates!$B$7,2)</f>
        <v>6658.75</v>
      </c>
      <c r="C16" t="s">
        <v>25</v>
      </c>
      <c r="D16" s="3">
        <f>ROUND(B16,2)</f>
        <v>6658.75</v>
      </c>
    </row>
    <row r="17" spans="1:4" x14ac:dyDescent="0.25">
      <c r="A17" t="s">
        <v>29</v>
      </c>
      <c r="B17" s="3">
        <f>ROUND(IF(B16&gt;0,B16*Rates!$B$12,0),2)</f>
        <v>665.88</v>
      </c>
      <c r="C17" t="s">
        <v>25</v>
      </c>
      <c r="D17" s="3">
        <f>ROUND(B17,2)</f>
        <v>665.88</v>
      </c>
    </row>
    <row r="18" spans="1:4" x14ac:dyDescent="0.25">
      <c r="A18" t="s">
        <v>30</v>
      </c>
      <c r="B18" s="3">
        <f>ROUND(IF(B16&gt;0,SUM(B16,B17)*Rates!$B$9,0),2)</f>
        <v>211.1</v>
      </c>
      <c r="C18" t="s">
        <v>25</v>
      </c>
      <c r="D18" s="3">
        <f>ROUND(B18,2)</f>
        <v>211.1</v>
      </c>
    </row>
    <row r="19" spans="1:4" x14ac:dyDescent="0.25">
      <c r="A19" t="s">
        <v>31</v>
      </c>
      <c r="B19" s="3">
        <f>ROUND(SUM(B12,B13,B14,B15)*Rates!$B$8,2)</f>
        <v>2227.2</v>
      </c>
      <c r="C19" s="3">
        <f>ROUND(0,2)</f>
        <v>308.64</v>
      </c>
      <c r="D19" s="3">
        <f>ROUND(SUM(B19,C19,B18),2)</f>
        <v>2746.9399999999996</v>
      </c>
    </row>
    <row r="20" spans="1:4" x14ac:dyDescent="0.25">
      <c r="A20" t="s">
        <v>32</v>
      </c>
      <c r="B20" s="3">
        <f>ROUND(SUM(B12:B19)*Rates!$B$14,2)</f>
        <v>7236.69</v>
      </c>
      <c r="C20" s="3">
        <f>ROUND(SUM(C12,C19)*Rates!$B$14,2)</f>
        <v>1574.07</v>
      </c>
      <c r="D20" s="3">
        <f>ROUND(SUM(B20:C20),2)</f>
        <v>8810.76</v>
      </c>
    </row>
    <row r="21" spans="1:4" x14ac:dyDescent="0.25">
      <c r="A21" t="s">
        <v>33</v>
      </c>
      <c r="B21" s="3">
        <f>ROUND(SUM(B12:B20)*Rates!$B$10,2)</f>
        <v>4011.5</v>
      </c>
      <c r="C21" s="3">
        <f>ROUND(SUM(C12,C19,C20)*Rates!$B$11,2)</f>
        <v>842.5</v>
      </c>
      <c r="D21" s="3">
        <f>ROUND(SUM(B21:C21),2)</f>
        <v>4854</v>
      </c>
    </row>
    <row r="22" spans="1:4" x14ac:dyDescent="0.25">
      <c r="A22" t="s">
        <v>34</v>
      </c>
      <c r="B22" t="s">
        <v>25</v>
      </c>
      <c r="C22" t="s">
        <v>25</v>
      </c>
      <c r="D22" s="3">
        <f>ROUND(Policy!$B$15,2)</f>
        <v>6658.75</v>
      </c>
    </row>
    <row r="23" spans="1:4" x14ac:dyDescent="0.25">
      <c r="A23" s="8" t="s">
        <v>35</v>
      </c>
      <c r="B23" s="3">
        <f>ROUND(SUM(B12:B21),2)</f>
        <v>89198.32</v>
      </c>
      <c r="C23" s="3">
        <f>ROUND(SUM(C12,C19:C21),2)</f>
        <v>18177.3</v>
      </c>
      <c r="D23" s="3">
        <f>ROUND(SUM(B23,C23,D22),2)</f>
        <v>107375.62</v>
      </c>
    </row>
    <row r="25" spans="1:4" x14ac:dyDescent="0.25">
      <c r="A25" s="4" t="s">
        <v>36</v>
      </c>
      <c r="B25" s="4"/>
      <c r="C25" s="4"/>
      <c r="D25" s="4"/>
    </row>
  </sheetData>
  <mergeCells count="5">
    <mergeCell ref="A1:D1"/>
    <mergeCell ref="A2:D2"/>
    <mergeCell ref="B7:D7"/>
    <mergeCell ref="A8:D8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36" customWidth="1"/>
    <col min="2" max="2" width="28" customWidth="1"/>
    <col min="3" max="3" width="42" customWidth="1"/>
  </cols>
  <sheetData>
    <row r="1" spans="1:2" x14ac:dyDescent="0.25">
      <c r="A1" s="2" t="s">
        <v>37</v>
      </c>
      <c r="B1" s="2"/>
    </row>
    <row r="2" spans="1:3" x14ac:dyDescent="0.25">
      <c r="A2" s="9" t="s">
        <v>38</v>
      </c>
      <c r="B2" s="9" t="s">
        <v>39</v>
      </c>
      <c r="C2" s="9" t="s">
        <v>40</v>
      </c>
    </row>
    <row r="3" spans="1:2" x14ac:dyDescent="0.25">
      <c r="A3" t="s">
        <v>8</v>
      </c>
      <c r="B3" t="s">
        <v>9</v>
      </c>
    </row>
    <row r="4" spans="1:2" x14ac:dyDescent="0.25">
      <c r="A4" t="s">
        <v>41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42</v>
      </c>
      <c r="B6" t="s">
        <v>43</v>
      </c>
    </row>
    <row r="7" spans="1:2" x14ac:dyDescent="0.25">
      <c r="A7" t="s">
        <v>44</v>
      </c>
      <c r="B7" t="s">
        <v>45</v>
      </c>
    </row>
    <row r="8" spans="1:3" x14ac:dyDescent="0.25">
      <c r="A8" t="s">
        <v>14</v>
      </c>
      <c r="B8" s="3">
        <v>1250000</v>
      </c>
      <c r="C8" t="s">
        <v>46</v>
      </c>
    </row>
    <row r="9" spans="1:2" x14ac:dyDescent="0.25">
      <c r="A9" t="s">
        <v>47</v>
      </c>
      <c r="B9" s="3">
        <v>625000</v>
      </c>
    </row>
    <row r="10" spans="1:2" x14ac:dyDescent="0.25">
      <c r="A10" t="s">
        <v>48</v>
      </c>
      <c r="B10" s="3">
        <v>125000</v>
      </c>
    </row>
    <row r="11" spans="1:2" x14ac:dyDescent="0.25">
      <c r="A11" t="s">
        <v>49</v>
      </c>
      <c r="B11" s="3">
        <v>62500</v>
      </c>
    </row>
    <row r="12" spans="1:2" x14ac:dyDescent="0.25">
      <c r="A12" t="s">
        <v>50</v>
      </c>
      <c r="B12" s="3">
        <v>93750</v>
      </c>
    </row>
    <row r="13" spans="1:3" x14ac:dyDescent="0.25">
      <c r="A13" t="s">
        <v>51</v>
      </c>
      <c r="B13" s="3">
        <v>3312.5</v>
      </c>
      <c r="C13" t="s">
        <v>52</v>
      </c>
    </row>
    <row r="14" spans="1:3" x14ac:dyDescent="0.25">
      <c r="A14" t="s">
        <v>53</v>
      </c>
      <c r="B14" s="3">
        <v>4968.75</v>
      </c>
      <c r="C14" t="s">
        <v>52</v>
      </c>
    </row>
    <row r="15" spans="1:2" x14ac:dyDescent="0.25">
      <c r="A15" t="s">
        <v>54</v>
      </c>
      <c r="B15" s="3">
        <v>6658.75</v>
      </c>
    </row>
    <row r="16" spans="1:2" x14ac:dyDescent="0.25">
      <c r="A16" t="s">
        <v>55</v>
      </c>
      <c r="B16" t="s">
        <v>56</v>
      </c>
    </row>
    <row r="17" spans="1:2" x14ac:dyDescent="0.25">
      <c r="A17" t="s">
        <v>57</v>
      </c>
      <c r="B17" t="s">
        <v>58</v>
      </c>
    </row>
    <row r="18" spans="1:2" x14ac:dyDescent="0.25">
      <c r="A18" t="s">
        <v>59</v>
      </c>
      <c r="B18" t="s">
        <v>60</v>
      </c>
    </row>
    <row r="19" spans="1:2" x14ac:dyDescent="0.25">
      <c r="A19" t="s">
        <v>61</v>
      </c>
      <c r="B19" t="s">
        <v>16</v>
      </c>
    </row>
    <row r="20" spans="1:3" x14ac:dyDescent="0.25">
      <c r="A20" t="s">
        <v>62</v>
      </c>
      <c r="B20" s="3">
        <v>1050000</v>
      </c>
      <c r="C20" t="s">
        <v>63</v>
      </c>
    </row>
    <row r="21" spans="1:3" x14ac:dyDescent="0.25">
      <c r="A21" t="s">
        <v>64</v>
      </c>
      <c r="B21" t="s">
        <v>65</v>
      </c>
      <c r="C21" t="s">
        <v>66</v>
      </c>
    </row>
    <row r="22" spans="1:3" x14ac:dyDescent="0.25">
      <c r="A22" t="s">
        <v>67</v>
      </c>
      <c r="B22" s="3">
        <v>66587.5</v>
      </c>
      <c r="C22" t="s">
        <v>68</v>
      </c>
    </row>
    <row r="23" spans="1:2" x14ac:dyDescent="0.25">
      <c r="A23" t="s">
        <v>69</v>
      </c>
      <c r="B23" s="3">
        <v>3552.18</v>
      </c>
    </row>
    <row r="24" spans="1:2" x14ac:dyDescent="0.25">
      <c r="A24" t="s">
        <v>70</v>
      </c>
      <c r="B24" s="3">
        <v>15432.09</v>
      </c>
    </row>
    <row r="25" spans="1:2" x14ac:dyDescent="0.25">
      <c r="A25" t="s">
        <v>71</v>
      </c>
      <c r="B25" s="3">
        <v>2227.2</v>
      </c>
    </row>
    <row r="26" spans="1:2" x14ac:dyDescent="0.25">
      <c r="A26" t="s">
        <v>72</v>
      </c>
      <c r="B26" s="3">
        <v>7236.69</v>
      </c>
    </row>
    <row r="27" spans="1:2" x14ac:dyDescent="0.25">
      <c r="A27" t="s">
        <v>73</v>
      </c>
      <c r="B27" s="3">
        <v>4011.5</v>
      </c>
    </row>
    <row r="28" spans="1:2" x14ac:dyDescent="0.25">
      <c r="A28" t="s">
        <v>74</v>
      </c>
      <c r="B28" s="3">
        <v>308.64</v>
      </c>
    </row>
    <row r="29" spans="1:2" x14ac:dyDescent="0.25">
      <c r="A29" t="s">
        <v>75</v>
      </c>
      <c r="B29" s="3">
        <v>1574.07</v>
      </c>
    </row>
    <row r="30" spans="1:2" x14ac:dyDescent="0.25">
      <c r="A30" t="s">
        <v>76</v>
      </c>
      <c r="B30" s="3">
        <v>842.5</v>
      </c>
    </row>
    <row r="31" spans="1:2" x14ac:dyDescent="0.25">
      <c r="A31" t="s">
        <v>77</v>
      </c>
      <c r="B31" s="3">
        <v>66587.5</v>
      </c>
    </row>
    <row r="32" spans="1:2" x14ac:dyDescent="0.25">
      <c r="A32" t="s">
        <v>78</v>
      </c>
      <c r="B32" s="3">
        <v>15432.09</v>
      </c>
    </row>
    <row r="33" spans="1:2" x14ac:dyDescent="0.25">
      <c r="A33" t="s">
        <v>79</v>
      </c>
      <c r="B33" s="3">
        <v>6658.75</v>
      </c>
    </row>
    <row r="34" spans="1:2" x14ac:dyDescent="0.25">
      <c r="A34" t="s">
        <v>80</v>
      </c>
      <c r="B34" s="3">
        <v>665.88</v>
      </c>
    </row>
    <row r="35" spans="1:2" x14ac:dyDescent="0.25">
      <c r="A35" t="s">
        <v>81</v>
      </c>
      <c r="B35" s="3">
        <v>211.1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6" customWidth="1"/>
    <col min="2" max="2" width="18" customWidth="1"/>
    <col min="3" max="3" width="48" customWidth="1"/>
  </cols>
  <sheetData>
    <row r="1" spans="1:2" x14ac:dyDescent="0.25">
      <c r="A1" s="2" t="s">
        <v>82</v>
      </c>
      <c r="B1" s="2"/>
    </row>
    <row r="2" spans="1:3" x14ac:dyDescent="0.25">
      <c r="A2" s="9" t="s">
        <v>83</v>
      </c>
      <c r="B2" s="9" t="s">
        <v>39</v>
      </c>
      <c r="C2" s="9" t="s">
        <v>84</v>
      </c>
    </row>
    <row r="3" spans="1:3" x14ac:dyDescent="0.25">
      <c r="A3" t="s">
        <v>85</v>
      </c>
      <c r="B3" s="10">
        <v>0.05327</v>
      </c>
      <c r="C3" t="s">
        <v>86</v>
      </c>
    </row>
    <row r="4" spans="1:3" x14ac:dyDescent="0.25">
      <c r="A4" t="s">
        <v>87</v>
      </c>
      <c r="B4" s="3">
        <v>31250</v>
      </c>
      <c r="C4" t="s">
        <v>86</v>
      </c>
    </row>
    <row r="5" spans="1:3" x14ac:dyDescent="0.25">
      <c r="A5" t="s">
        <v>88</v>
      </c>
      <c r="B5" s="10">
        <v>0.012346</v>
      </c>
      <c r="C5" t="s">
        <v>86</v>
      </c>
    </row>
    <row r="6" spans="1:3" x14ac:dyDescent="0.25">
      <c r="A6" t="s">
        <v>89</v>
      </c>
      <c r="B6" s="3">
        <v>6250</v>
      </c>
      <c r="C6" t="s">
        <v>86</v>
      </c>
    </row>
    <row r="7" spans="1:3" x14ac:dyDescent="0.25">
      <c r="A7" t="s">
        <v>90</v>
      </c>
      <c r="B7" s="10">
        <v>0.053269</v>
      </c>
      <c r="C7" t="s">
        <v>91</v>
      </c>
    </row>
    <row r="8" spans="1:3" x14ac:dyDescent="0.25">
      <c r="A8" t="s">
        <v>92</v>
      </c>
      <c r="B8" s="10">
        <v>0.031754</v>
      </c>
      <c r="C8" t="s">
        <v>93</v>
      </c>
    </row>
    <row r="9" spans="1:3" x14ac:dyDescent="0.25">
      <c r="A9" t="s">
        <v>94</v>
      </c>
      <c r="B9" s="10">
        <v>0.03175</v>
      </c>
      <c r="C9" t="s">
        <v>93</v>
      </c>
    </row>
    <row r="10" spans="1:3" x14ac:dyDescent="0.25">
      <c r="A10" t="s">
        <v>95</v>
      </c>
      <c r="B10" s="10">
        <v>0.046035</v>
      </c>
      <c r="C10" t="s">
        <v>96</v>
      </c>
    </row>
    <row r="11" spans="1:3" x14ac:dyDescent="0.25">
      <c r="A11" t="s">
        <v>97</v>
      </c>
      <c r="B11" s="10">
        <v>0.048658</v>
      </c>
      <c r="C11" t="s">
        <v>96</v>
      </c>
    </row>
    <row r="12" spans="1:3" x14ac:dyDescent="0.25">
      <c r="A12" t="s">
        <v>98</v>
      </c>
      <c r="B12" s="10">
        <v>0.053346</v>
      </c>
      <c r="C12" t="s">
        <v>99</v>
      </c>
    </row>
    <row r="13" spans="1:3" x14ac:dyDescent="0.25">
      <c r="A13" t="s">
        <v>100</v>
      </c>
      <c r="B13">
        <v>2</v>
      </c>
      <c r="C13" t="s">
        <v>101</v>
      </c>
    </row>
    <row r="14" spans="1:3" x14ac:dyDescent="0.25">
      <c r="A14" t="s">
        <v>102</v>
      </c>
      <c r="B14" s="10">
        <v>0.1</v>
      </c>
      <c r="C14" t="s">
        <v>25</v>
      </c>
    </row>
    <row r="15" spans="1:3" x14ac:dyDescent="0.25">
      <c r="A15" t="s">
        <v>103</v>
      </c>
      <c r="B15" s="3">
        <v>62500</v>
      </c>
      <c r="C15" t="s">
        <v>91</v>
      </c>
    </row>
    <row r="16" spans="1:3" x14ac:dyDescent="0.25">
      <c r="A16" t="s">
        <v>104</v>
      </c>
      <c r="B16" s="3">
        <v>625000</v>
      </c>
      <c r="C16" t="s">
        <v>91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28" customWidth="1"/>
    <col min="2" max="7" width="16" customWidth="1"/>
  </cols>
  <sheetData>
    <row r="1" spans="1:7" x14ac:dyDescent="0.25">
      <c r="A1" s="2" t="s">
        <v>105</v>
      </c>
      <c r="B1" s="2"/>
      <c r="C1" s="2"/>
      <c r="D1" s="2"/>
      <c r="E1" s="2"/>
      <c r="F1" s="2"/>
      <c r="G1" s="2"/>
    </row>
    <row r="2" spans="1:2" x14ac:dyDescent="0.25">
      <c r="A2" t="s">
        <v>106</v>
      </c>
      <c r="B2" s="3">
        <f>ROUND(Policy!$B$8,2)</f>
        <v>1250000</v>
      </c>
    </row>
    <row r="3" spans="1:2" x14ac:dyDescent="0.25">
      <c r="A3" t="s">
        <v>107</v>
      </c>
      <c r="B3" s="3">
        <f>ROUND(Policy!$B$20,2)</f>
        <v>1050000</v>
      </c>
    </row>
    <row r="4" spans="1:2" x14ac:dyDescent="0.25">
      <c r="A4" t="s">
        <v>108</v>
      </c>
      <c r="B4" t="str">
        <f>Policy!$B$21</f>
        <v>No</v>
      </c>
    </row>
    <row r="6" spans="1:1" x14ac:dyDescent="0.25">
      <c r="A6" s="8" t="s">
        <v>109</v>
      </c>
    </row>
    <row r="7" spans="1:2" x14ac:dyDescent="0.25">
      <c r="A7" t="s">
        <v>110</v>
      </c>
      <c r="B7" s="10">
        <v>0.05327</v>
      </c>
    </row>
    <row r="8" spans="1:2" x14ac:dyDescent="0.25">
      <c r="A8" t="s">
        <v>111</v>
      </c>
      <c r="B8" s="10">
        <v>0.012346</v>
      </c>
    </row>
    <row r="9" spans="1:2" x14ac:dyDescent="0.25">
      <c r="A9" t="s">
        <v>112</v>
      </c>
      <c r="B9" s="3">
        <v>31250</v>
      </c>
    </row>
    <row r="10" spans="1:2" x14ac:dyDescent="0.25">
      <c r="A10" t="s">
        <v>113</v>
      </c>
      <c r="B10" s="3">
        <v>6250</v>
      </c>
    </row>
    <row r="11" spans="1:2" x14ac:dyDescent="0.25">
      <c r="A11" t="s">
        <v>114</v>
      </c>
      <c r="B11" s="10">
        <v>0.053346</v>
      </c>
    </row>
    <row r="12" spans="1:2" x14ac:dyDescent="0.25">
      <c r="A12" t="s">
        <v>115</v>
      </c>
      <c r="B12" s="10">
        <v>0.031754</v>
      </c>
    </row>
    <row r="13" spans="1:2" x14ac:dyDescent="0.25">
      <c r="A13" t="s">
        <v>116</v>
      </c>
      <c r="B13" s="10">
        <v>0.046035</v>
      </c>
    </row>
    <row r="14" spans="1:2" x14ac:dyDescent="0.25">
      <c r="A14" t="s">
        <v>117</v>
      </c>
      <c r="B14" s="10">
        <v>0.048658</v>
      </c>
    </row>
    <row r="15" spans="1:2" x14ac:dyDescent="0.25">
      <c r="A15" t="s">
        <v>102</v>
      </c>
      <c r="B15" s="10">
        <v>0.1</v>
      </c>
    </row>
    <row r="17" spans="1:7" x14ac:dyDescent="0.25">
      <c r="A17" s="8" t="s">
        <v>118</v>
      </c>
      <c r="B17" s="8"/>
      <c r="C17" s="8"/>
      <c r="D17" s="8"/>
      <c r="E17" s="8"/>
      <c r="F17" s="8"/>
      <c r="G17" s="8"/>
    </row>
    <row r="18" spans="1:7" x14ac:dyDescent="0.25">
      <c r="A18" s="9" t="s">
        <v>119</v>
      </c>
      <c r="B18" s="9" t="s">
        <v>35</v>
      </c>
      <c r="C18" s="9" t="s">
        <v>23</v>
      </c>
      <c r="D18" s="9" t="s">
        <v>24</v>
      </c>
      <c r="E18" s="9" t="s">
        <v>31</v>
      </c>
      <c r="F18" s="9" t="s">
        <v>32</v>
      </c>
      <c r="G18" s="9" t="s">
        <v>33</v>
      </c>
    </row>
    <row r="19" spans="1:7" x14ac:dyDescent="0.25">
      <c r="A19" t="s">
        <v>120</v>
      </c>
      <c r="B19" s="3">
        <f>ROUND(SUM(C19:G19),2)</f>
        <v>83268.14</v>
      </c>
      <c r="C19" s="3">
        <f>ROUND(Policy!$B$22,2)</f>
        <v>66587.5</v>
      </c>
      <c r="D19" s="3">
        <f>ROUND(Policy!$B$23,2)</f>
        <v>3552.18</v>
      </c>
      <c r="E19" s="3">
        <f>ROUND(SUM(C19,D19)*Adjustment!$B$12,2)</f>
        <v>2227.22</v>
      </c>
      <c r="F19" s="3">
        <f>ROUND(SUM(C19,D19,E19)*Adjustment!$B$15,2)</f>
        <v>7236.69</v>
      </c>
      <c r="G19" s="3">
        <f>ROUND(SUM(C19,D19,E19,F19)*Adjustment!$B$13,2)</f>
        <v>3664.55</v>
      </c>
    </row>
    <row r="20" spans="1:7" x14ac:dyDescent="0.25">
      <c r="A20" t="s">
        <v>121</v>
      </c>
      <c r="B20" s="3">
        <f>ROUND(SUM(C20:G20),2)</f>
        <v>18366.54</v>
      </c>
      <c r="C20" s="3">
        <f>ROUND(Policy!$B$24,2)</f>
        <v>15432.09</v>
      </c>
      <c r="D20" s="3">
        <f>ROUND(0,2)</f>
        <v>0</v>
      </c>
      <c r="E20" s="3">
        <f>ROUND(0,2)</f>
        <v>490.03</v>
      </c>
      <c r="F20" s="3">
        <f>ROUND(SUM(C20,D20,E20)*Adjustment!$B$15,2)</f>
        <v>1592.21</v>
      </c>
      <c r="G20" s="3">
        <f>ROUND(IF(UPPER(Adjustment!$B$4)="YES",0,SUM(C20,D20,E20,F20)*Adjustment!$B$14),2)</f>
        <v>852.21</v>
      </c>
    </row>
    <row r="21" spans="1:7" x14ac:dyDescent="0.25">
      <c r="A21" s="8" t="s">
        <v>122</v>
      </c>
      <c r="B21" s="11">
        <f>ROUND(SUM(B19:B20),2)</f>
        <v>101634.68</v>
      </c>
      <c r="C21" s="11">
        <f>ROUND(SUM(C19:C20),2)</f>
        <v>82019.59</v>
      </c>
      <c r="D21" s="11">
        <f>ROUND(SUM(D19:D20),2)</f>
        <v>3552.18</v>
      </c>
      <c r="E21" s="11">
        <f>ROUND(SUM(E19:E20),2)</f>
        <v>2717.25</v>
      </c>
      <c r="F21" s="11">
        <f>ROUND(SUM(F19:F20),2)</f>
        <v>8828.9</v>
      </c>
      <c r="G21" s="11">
        <f>ROUND(SUM(G19:G20),2)</f>
        <v>4516.76</v>
      </c>
    </row>
    <row r="23" spans="1:7" x14ac:dyDescent="0.25">
      <c r="A23" s="8" t="s">
        <v>107</v>
      </c>
      <c r="B23" s="8"/>
      <c r="C23" s="8"/>
      <c r="D23" s="8"/>
      <c r="E23" s="8"/>
      <c r="F23" s="8"/>
      <c r="G23" s="8"/>
    </row>
    <row r="24" spans="1:7" x14ac:dyDescent="0.25">
      <c r="A24" s="9" t="s">
        <v>119</v>
      </c>
      <c r="B24" s="9" t="s">
        <v>35</v>
      </c>
      <c r="C24" s="9" t="s">
        <v>23</v>
      </c>
      <c r="D24" s="9" t="s">
        <v>24</v>
      </c>
      <c r="E24" s="9" t="s">
        <v>31</v>
      </c>
      <c r="F24" s="9" t="s">
        <v>32</v>
      </c>
      <c r="G24" s="9" t="s">
        <v>33</v>
      </c>
    </row>
    <row r="25" spans="1:7" x14ac:dyDescent="0.25">
      <c r="A25" t="s">
        <v>120</v>
      </c>
      <c r="B25" s="3">
        <f>ROUND(SUM(C25:G25),2)</f>
        <v>69945.23000000001</v>
      </c>
      <c r="C25" s="3">
        <f>ROUND(MAX(Adjustment!$B$3*Adjustment!$B$7,Adjustment!$B$9),2)</f>
        <v>55933.5</v>
      </c>
      <c r="D25" s="3">
        <f>ROUND(C25*Adjustment!$B$11,2)</f>
        <v>2983.83</v>
      </c>
      <c r="E25" s="3">
        <f>ROUND(SUM(C25,D25)*Adjustment!$B$12,2)</f>
        <v>1870.86</v>
      </c>
      <c r="F25" s="3">
        <f>ROUND(SUM(C25,D25,E25)*Adjustment!$B$15,2)</f>
        <v>6078.82</v>
      </c>
      <c r="G25" s="3">
        <f>ROUND(SUM(C25,D25,E25,F25)*Adjustment!$B$13,2)</f>
        <v>3078.22</v>
      </c>
    </row>
    <row r="26" spans="1:7" x14ac:dyDescent="0.25">
      <c r="A26" t="s">
        <v>121</v>
      </c>
      <c r="B26" s="3">
        <f>ROUND(SUM(C26:G26),2)</f>
        <v>15428.309999999998</v>
      </c>
      <c r="C26" s="3">
        <f>ROUND(MAX(Adjustment!$B$3*Adjustment!$B$8,Adjustment!$B$10),2)</f>
        <v>12963.3</v>
      </c>
      <c r="D26" s="3">
        <f>ROUND(0,2)</f>
        <v>0</v>
      </c>
      <c r="E26" s="3">
        <f>ROUND(0,2)</f>
        <v>411.64</v>
      </c>
      <c r="F26" s="3">
        <f>ROUND(SUM(C26,D26,E26)*Adjustment!$B$15,2)</f>
        <v>1337.49</v>
      </c>
      <c r="G26" s="3">
        <f>ROUND(IF(UPPER(Adjustment!$B$4)="YES",0,SUM(C26,D26,E26,F26)*Adjustment!$B$14),2)</f>
        <v>715.88</v>
      </c>
    </row>
    <row r="27" spans="1:7" x14ac:dyDescent="0.25">
      <c r="A27" s="8" t="s">
        <v>122</v>
      </c>
      <c r="B27" s="11">
        <f>ROUND(SUM(B25:B26),2)</f>
        <v>85373.54000000001</v>
      </c>
      <c r="C27" s="11">
        <f>ROUND(SUM(C25:C26),2)</f>
        <v>68896.8</v>
      </c>
      <c r="D27" s="11">
        <f>ROUND(SUM(D25:D26),2)</f>
        <v>2983.83</v>
      </c>
      <c r="E27" s="11">
        <f>ROUND(SUM(E25:E26),2)</f>
        <v>2282.5</v>
      </c>
      <c r="F27" s="11">
        <f>ROUND(SUM(F25:F26),2)</f>
        <v>7416.3099999999995</v>
      </c>
      <c r="G27" s="11">
        <f>ROUND(SUM(G25:G26),2)</f>
        <v>3794.1</v>
      </c>
    </row>
    <row r="29" spans="1:7" x14ac:dyDescent="0.25">
      <c r="A29" s="8" t="s">
        <v>123</v>
      </c>
      <c r="B29" s="8"/>
      <c r="C29" s="8"/>
      <c r="D29" s="8"/>
      <c r="E29" s="8"/>
      <c r="F29" s="8"/>
      <c r="G29" s="8"/>
    </row>
    <row r="30" spans="1:7" x14ac:dyDescent="0.25">
      <c r="A30" s="9" t="s">
        <v>119</v>
      </c>
      <c r="B30" s="9" t="s">
        <v>35</v>
      </c>
      <c r="C30" s="9" t="s">
        <v>23</v>
      </c>
      <c r="D30" s="9" t="s">
        <v>24</v>
      </c>
      <c r="E30" s="9" t="s">
        <v>31</v>
      </c>
      <c r="F30" s="9" t="s">
        <v>32</v>
      </c>
      <c r="G30" s="9" t="s">
        <v>33</v>
      </c>
    </row>
    <row r="31" spans="1:7" x14ac:dyDescent="0.25">
      <c r="A31" t="s">
        <v>120</v>
      </c>
      <c r="B31" s="3">
        <f>ROUND(SUM(C31:G31),2)</f>
        <v>-13322.9</v>
      </c>
      <c r="C31" s="3">
        <f>ROUND(IF(AND(C25&lt;C19,C19&gt;0,(C19-C25)/C19&gt;0.25),-C19*0.25,C25-C19),2)</f>
        <v>-10654</v>
      </c>
      <c r="D31" s="3">
        <f>ROUND(C31*Adjustment!$B$11,2)</f>
        <v>-568.35</v>
      </c>
      <c r="E31" s="3">
        <f>ROUND(SUM(C31,D31)*Adjustment!$B$12,2)</f>
        <v>-356.35</v>
      </c>
      <c r="F31" s="3">
        <f>ROUND(SUM(C31,D31,E31)*Adjustment!$B$15,2)</f>
        <v>-1157.87</v>
      </c>
      <c r="G31" s="3">
        <f>ROUND(SUM(C31,D31,E31,F31)*Adjustment!$B$13,2)</f>
        <v>-586.33</v>
      </c>
    </row>
    <row r="32" spans="1:7" x14ac:dyDescent="0.25">
      <c r="A32" t="s">
        <v>121</v>
      </c>
      <c r="B32" s="3">
        <f>ROUND(SUM(C32:G32),2)</f>
        <v>-2938.2300000000005</v>
      </c>
      <c r="C32" s="3">
        <f>ROUND(IF(AND(C26&lt;C20,C20&gt;0,(C20-C26)/C20&gt;0.25),-C20*0.25,C26-C20),2)</f>
        <v>-2468.790000000001</v>
      </c>
      <c r="D32" s="3">
        <f>ROUND(0,2)</f>
        <v>0</v>
      </c>
      <c r="E32" s="3">
        <f>ROUND(0,2)</f>
        <v>-78.39</v>
      </c>
      <c r="F32" s="3">
        <f>ROUND(SUM(C32,D32,E32)*Adjustment!$B$15,2)</f>
        <v>-254.72</v>
      </c>
      <c r="G32" s="3">
        <f>ROUND(IF(UPPER(Adjustment!$B$4)="YES",0,SUM(C32,D32,E32,F32)*Adjustment!$B$14),2)</f>
        <v>-136.33</v>
      </c>
    </row>
    <row r="33" spans="1:7" x14ac:dyDescent="0.25">
      <c r="A33" s="8" t="s">
        <v>122</v>
      </c>
      <c r="B33" s="11">
        <f>ROUND(SUM(B31:B32),2)</f>
        <v>-16261.130000000001</v>
      </c>
      <c r="C33" s="11">
        <f>ROUND(SUM(C31:C32),2)</f>
        <v>-13122.79</v>
      </c>
      <c r="D33" s="11">
        <f>ROUND(SUM(D31:D32),2)</f>
        <v>-568.35</v>
      </c>
      <c r="E33" s="11">
        <f>ROUND(SUM(E31:E32),2)</f>
        <v>-434.74</v>
      </c>
      <c r="F33" s="11">
        <f>ROUND(SUM(F31:F32),2)</f>
        <v>-1412.59</v>
      </c>
      <c r="G33" s="11">
        <f>ROUND(SUM(G31:G32),2)</f>
        <v>-722.6600000000001</v>
      </c>
    </row>
    <row r="35" spans="1:7" x14ac:dyDescent="0.25">
      <c r="A35" s="4" t="s">
        <v>124</v>
      </c>
      <c r="B35" s="4"/>
      <c r="C35" s="4"/>
      <c r="D35" s="4"/>
      <c r="E35" s="4"/>
      <c r="F35" s="4"/>
      <c r="G35" s="4"/>
    </row>
  </sheetData>
  <mergeCells count="5">
    <mergeCell ref="A1:G1"/>
    <mergeCell ref="A17:G17"/>
    <mergeCell ref="A23:G23"/>
    <mergeCell ref="A29:G29"/>
    <mergeCell ref="A35:G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Premium</vt:lpstr>
      <vt:lpstr>Policy</vt:lpstr>
      <vt:lpstr>Rates</vt:lpstr>
      <vt:lpstr>Adjustment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Irecon Insurance</dc:creator>
  <dc:title/>
  <dc:subject/>
  <dc:description/>
  <cp:keywords/>
  <cp:category/>
  <cp:lastModifiedBy>Unknown</cp:lastModifiedBy>
  <dcterms:created xsi:type="dcterms:W3CDTF">2026-08-13T13:49:08Z</dcterms:created>
  <dcterms:modified xsi:type="dcterms:W3CDTF">2026-08-13T13:49:08Z</dcterms:modified>
</cp:coreProperties>
</file>